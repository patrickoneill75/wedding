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onstants" sheetId="3" state="visible" r:id="rId3"/>
    <sheet xmlns:r="http://schemas.openxmlformats.org/officeDocument/2006/relationships" name="Guest List" sheetId="4" state="visible" r:id="rId4"/>
    <sheet xmlns:r="http://schemas.openxmlformats.org/officeDocument/2006/relationships" name="Round 2 Invites" sheetId="5" state="visible" r:id="rId5"/>
    <sheet xmlns:r="http://schemas.openxmlformats.org/officeDocument/2006/relationships" name="Dec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D1" t="inlineStr">
        <is>
          <t>Estimated</t>
        </is>
      </c>
      <c r="J1" t="inlineStr">
        <is>
          <t>Actual</t>
        </is>
      </c>
    </row>
    <row r="2">
      <c r="A2" t="inlineStr">
        <is>
          <t>Cateogy</t>
        </is>
      </c>
      <c r="B2" t="inlineStr">
        <is>
          <t>Subcategory</t>
        </is>
      </c>
      <c r="C2" t="inlineStr">
        <is>
          <t>Item</t>
        </is>
      </c>
      <c r="D2" t="inlineStr">
        <is>
          <t>Unit Cost</t>
        </is>
      </c>
      <c r="E2" t="inlineStr">
        <is>
          <t>Units</t>
        </is>
      </c>
      <c r="F2" t="inlineStr">
        <is>
          <t>Subtotal</t>
        </is>
      </c>
      <c r="G2" t="inlineStr">
        <is>
          <t>Gratuity %</t>
        </is>
      </c>
      <c r="H2" t="inlineStr">
        <is>
          <t>Gratuity</t>
        </is>
      </c>
      <c r="I2" t="inlineStr">
        <is>
          <t>Total Cost</t>
        </is>
      </c>
      <c r="J2" t="inlineStr">
        <is>
          <t>Actual Cost</t>
        </is>
      </c>
    </row>
    <row r="3">
      <c r="A3" t="inlineStr">
        <is>
          <t>Ceremony &amp; Recption</t>
        </is>
      </c>
      <c r="B3" t="inlineStr">
        <is>
          <t>Attire</t>
        </is>
      </c>
      <c r="C3" t="inlineStr">
        <is>
          <t>Dress</t>
        </is>
      </c>
      <c r="E3" t="n">
        <v>1</v>
      </c>
      <c r="F3">
        <f>D3*E3</f>
        <v/>
      </c>
      <c r="G3" t="n">
        <v>0</v>
      </c>
      <c r="H3">
        <f>D3*E3*G3</f>
        <v/>
      </c>
      <c r="I3">
        <f>F3+H3</f>
        <v/>
      </c>
    </row>
    <row r="4">
      <c r="A4" t="inlineStr">
        <is>
          <t>Ceremony &amp; Recption</t>
        </is>
      </c>
      <c r="B4" t="inlineStr">
        <is>
          <t>Entertainment</t>
        </is>
      </c>
      <c r="C4" t="inlineStr">
        <is>
          <t>DJ (guess)</t>
        </is>
      </c>
      <c r="D4" t="n">
        <v>1000</v>
      </c>
      <c r="E4" t="n">
        <v>1</v>
      </c>
      <c r="F4">
        <f>D4*E4</f>
        <v/>
      </c>
      <c r="G4" t="n">
        <v>0</v>
      </c>
      <c r="H4">
        <f>D4*E4*G4</f>
        <v/>
      </c>
      <c r="I4">
        <f>F4+H4</f>
        <v/>
      </c>
    </row>
    <row r="5">
      <c r="A5" t="inlineStr">
        <is>
          <t>Ceremony &amp; Recption</t>
        </is>
      </c>
      <c r="B5" t="inlineStr">
        <is>
          <t>Food &amp; Bev</t>
        </is>
      </c>
      <c r="C5" t="inlineStr">
        <is>
          <t>Yats</t>
        </is>
      </c>
      <c r="D5">
        <f>Constants!C59</f>
        <v/>
      </c>
      <c r="E5" t="n">
        <v>6</v>
      </c>
      <c r="F5">
        <f>D5*E5</f>
        <v/>
      </c>
      <c r="G5" t="n">
        <v>0.2</v>
      </c>
      <c r="H5">
        <f>D5*E5*G5</f>
        <v/>
      </c>
      <c r="I5">
        <f>F5+H5</f>
        <v/>
      </c>
    </row>
    <row r="6">
      <c r="A6" t="inlineStr">
        <is>
          <t>Ceremony &amp; Recption</t>
        </is>
      </c>
      <c r="B6" t="inlineStr">
        <is>
          <t>Food &amp; Bev</t>
        </is>
      </c>
      <c r="C6" t="inlineStr">
        <is>
          <t>Red Wine</t>
        </is>
      </c>
      <c r="D6" t="n">
        <v>12</v>
      </c>
      <c r="E6">
        <f>Constants!F44</f>
        <v/>
      </c>
      <c r="F6">
        <f>D6*E6</f>
        <v/>
      </c>
      <c r="G6" t="n">
        <v>0.08</v>
      </c>
      <c r="H6">
        <f>D6*E6*G6</f>
        <v/>
      </c>
      <c r="I6">
        <f>F6+H6</f>
        <v/>
      </c>
    </row>
    <row r="7">
      <c r="A7" t="inlineStr">
        <is>
          <t>Ceremony &amp; Recption</t>
        </is>
      </c>
      <c r="B7" t="inlineStr">
        <is>
          <t>Food &amp; Bev</t>
        </is>
      </c>
      <c r="C7" t="inlineStr">
        <is>
          <t>Non-alcoholic drinks</t>
        </is>
      </c>
      <c r="D7" t="n">
        <v>0.5</v>
      </c>
      <c r="E7">
        <f>Constants!C55</f>
        <v/>
      </c>
      <c r="F7">
        <f>D7*E7</f>
        <v/>
      </c>
      <c r="G7" t="n">
        <v>0</v>
      </c>
      <c r="H7">
        <f>D7*E7*G7</f>
        <v/>
      </c>
      <c r="I7">
        <f>F7+H7</f>
        <v/>
      </c>
    </row>
    <row r="8">
      <c r="A8" t="inlineStr">
        <is>
          <t>Communication</t>
        </is>
      </c>
      <c r="B8" t="inlineStr">
        <is>
          <t>Stationery</t>
        </is>
      </c>
      <c r="C8" t="inlineStr">
        <is>
          <t>Save the Date Printing</t>
        </is>
      </c>
      <c r="E8">
        <f>Constants!C5</f>
        <v/>
      </c>
      <c r="F8">
        <f>D8*E8</f>
        <v/>
      </c>
      <c r="G8" t="n">
        <v>0</v>
      </c>
      <c r="H8">
        <f>D8*E8*G8</f>
        <v/>
      </c>
      <c r="I8" t="n">
        <v>294.01</v>
      </c>
      <c r="J8" t="n">
        <v>294.01</v>
      </c>
    </row>
    <row r="9">
      <c r="A9" t="inlineStr">
        <is>
          <t>Communication</t>
        </is>
      </c>
      <c r="B9" t="inlineStr">
        <is>
          <t>Stationery</t>
        </is>
      </c>
      <c r="C9" t="inlineStr">
        <is>
          <t>Thank You Note Postage</t>
        </is>
      </c>
      <c r="D9" t="n">
        <v>0.73</v>
      </c>
      <c r="E9">
        <f>Constants!C22</f>
        <v/>
      </c>
      <c r="F9">
        <f>D9*E9</f>
        <v/>
      </c>
      <c r="G9" t="n">
        <v>0</v>
      </c>
      <c r="H9">
        <f>D9*E9*G9</f>
        <v/>
      </c>
      <c r="I9">
        <f>F9+H9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8:C59"/>
  <sheetViews>
    <sheetView workbookViewId="0">
      <selection activeCell="A1" sqref="A1"/>
    </sheetView>
  </sheetViews>
  <sheetFormatPr baseColWidth="8" defaultRowHeight="15"/>
  <sheetData>
    <row r="18">
      <c r="C18" t="n">
        <v>0.9</v>
      </c>
    </row>
    <row r="19">
      <c r="C19" t="n">
        <v>0.6</v>
      </c>
    </row>
    <row r="20">
      <c r="C20" t="n">
        <v>0.4</v>
      </c>
    </row>
    <row r="26">
      <c r="C26" t="n">
        <v>5</v>
      </c>
    </row>
    <row r="27">
      <c r="C27" t="n">
        <v>15</v>
      </c>
    </row>
    <row r="28">
      <c r="C28" t="n">
        <v>12</v>
      </c>
    </row>
    <row r="35">
      <c r="C35" t="n">
        <v>5</v>
      </c>
    </row>
    <row r="37">
      <c r="C37" t="n">
        <v>2</v>
      </c>
    </row>
    <row r="38">
      <c r="C38" t="n">
        <v>1</v>
      </c>
    </row>
    <row r="43">
      <c r="C43" t="n">
        <v>0.4</v>
      </c>
    </row>
    <row r="44">
      <c r="C44" t="n">
        <v>0.5</v>
      </c>
    </row>
    <row r="45">
      <c r="C45" t="n">
        <v>0.5</v>
      </c>
    </row>
    <row r="47">
      <c r="C47" t="n">
        <v>0.6</v>
      </c>
    </row>
    <row r="49">
      <c r="C49" t="n">
        <v>0</v>
      </c>
    </row>
    <row r="53">
      <c r="C53" t="n">
        <v>0.25</v>
      </c>
    </row>
    <row r="59">
      <c r="C59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Order</t>
        </is>
      </c>
      <c r="B1" t="inlineStr">
        <is>
          <t>Household ID</t>
        </is>
      </c>
      <c r="C1" t="inlineStr">
        <is>
          <t>First</t>
        </is>
      </c>
      <c r="D1" t="inlineStr">
        <is>
          <t>Last</t>
        </is>
      </c>
      <c r="E1" t="inlineStr">
        <is>
          <t>New household</t>
        </is>
      </c>
      <c r="F1" t="inlineStr">
        <is>
          <t>Ceremony</t>
        </is>
      </c>
      <c r="G1" t="inlineStr">
        <is>
          <t>Column 7</t>
        </is>
      </c>
      <c r="H1" t="inlineStr">
        <is>
          <t>Bride/Groom</t>
        </is>
      </c>
      <c r="I1" t="inlineStr">
        <is>
          <t>Priority</t>
        </is>
      </c>
      <c r="J1" t="inlineStr">
        <is>
          <t>Wedding Party?</t>
        </is>
      </c>
      <c r="K1" t="inlineStr">
        <is>
          <t>Immediate Family</t>
        </is>
      </c>
      <c r="L1" t="inlineStr">
        <is>
          <t>Extended</t>
        </is>
      </c>
      <c r="M1" t="inlineStr">
        <is>
          <t>Full Name(s)</t>
        </is>
      </c>
      <c r="N1" t="inlineStr">
        <is>
          <t>First Name(s)</t>
        </is>
      </c>
      <c r="O1" t="inlineStr">
        <is>
          <t>Address 1</t>
        </is>
      </c>
      <c r="P1" t="inlineStr">
        <is>
          <t>Address 2</t>
        </is>
      </c>
      <c r="Q1" t="inlineStr">
        <is>
          <t>City</t>
        </is>
      </c>
      <c r="R1" t="inlineStr">
        <is>
          <t>State</t>
        </is>
      </c>
      <c r="S1" t="inlineStr">
        <is>
          <t>Zip</t>
        </is>
      </c>
      <c r="T1" t="inlineStr">
        <is>
          <t>Country</t>
        </is>
      </c>
      <c r="U1" t="inlineStr">
        <is>
          <t>Column 2</t>
        </is>
      </c>
      <c r="V1" t="inlineStr">
        <is>
          <t>Column 3</t>
        </is>
      </c>
    </row>
    <row r="2">
      <c r="A2" t="n">
        <v>1</v>
      </c>
      <c r="B2" t="inlineStr">
        <is>
          <t>H-001</t>
        </is>
      </c>
      <c r="C2" t="inlineStr">
        <is>
          <t>Alex</t>
        </is>
      </c>
      <c r="D2" t="inlineStr">
        <is>
          <t>Example</t>
        </is>
      </c>
      <c r="E2" t="inlineStr">
        <is>
          <t>x</t>
        </is>
      </c>
      <c r="F2" t="inlineStr">
        <is>
          <t>x</t>
        </is>
      </c>
      <c r="H2" t="inlineStr">
        <is>
          <t>Groom</t>
        </is>
      </c>
      <c r="I2" t="inlineStr">
        <is>
          <t>High</t>
        </is>
      </c>
      <c r="J2" t="n">
        <v>0</v>
      </c>
      <c r="K2" t="n">
        <v>1</v>
      </c>
      <c r="L2" t="n">
        <v>0</v>
      </c>
      <c r="M2" t="inlineStr">
        <is>
          <t>Alex and Sam Example</t>
        </is>
      </c>
      <c r="N2" t="inlineStr">
        <is>
          <t>Alex and Sam</t>
        </is>
      </c>
      <c r="O2" t="inlineStr">
        <is>
          <t>1 Test St</t>
        </is>
      </c>
      <c r="Q2" t="inlineStr">
        <is>
          <t>Springfield</t>
        </is>
      </c>
      <c r="R2" t="inlineStr">
        <is>
          <t>IN</t>
        </is>
      </c>
      <c r="S2" t="n">
        <v>2134</v>
      </c>
    </row>
    <row r="3">
      <c r="A3" t="n">
        <v>2</v>
      </c>
      <c r="B3" t="inlineStr">
        <is>
          <t>H-001</t>
        </is>
      </c>
      <c r="C3" t="inlineStr">
        <is>
          <t>Sam</t>
        </is>
      </c>
      <c r="D3" t="inlineStr">
        <is>
          <t>Example</t>
        </is>
      </c>
      <c r="F3" t="inlineStr">
        <is>
          <t>x</t>
        </is>
      </c>
      <c r="H3" t="inlineStr">
        <is>
          <t>Groom</t>
        </is>
      </c>
      <c r="I3" t="inlineStr">
        <is>
          <t>High</t>
        </is>
      </c>
      <c r="J3" t="n">
        <v>0</v>
      </c>
      <c r="K3" t="n">
        <v>1</v>
      </c>
      <c r="L3" t="n">
        <v>0</v>
      </c>
    </row>
    <row r="4">
      <c r="A4" t="n">
        <v>3</v>
      </c>
      <c r="B4" t="inlineStr">
        <is>
          <t>H-002</t>
        </is>
      </c>
      <c r="C4" t="inlineStr">
        <is>
          <t xml:space="preserve">Jordan </t>
        </is>
      </c>
      <c r="D4" t="inlineStr">
        <is>
          <t>Sample</t>
        </is>
      </c>
      <c r="E4" t="inlineStr">
        <is>
          <t>x</t>
        </is>
      </c>
      <c r="H4" t="inlineStr">
        <is>
          <t>Bride</t>
        </is>
      </c>
      <c r="I4" t="inlineStr">
        <is>
          <t>Medium</t>
        </is>
      </c>
      <c r="J4" t="n">
        <v>1</v>
      </c>
      <c r="K4" t="n">
        <v>0</v>
      </c>
      <c r="L4" t="n">
        <v>0</v>
      </c>
      <c r="M4" t="inlineStr">
        <is>
          <t>Jordan Sample</t>
        </is>
      </c>
      <c r="N4" t="inlineStr">
        <is>
          <t>Jordan</t>
        </is>
      </c>
      <c r="O4" t="inlineStr">
        <is>
          <t>2 Fake Ave</t>
        </is>
      </c>
      <c r="P4" t="inlineStr">
        <is>
          <t>Apt 3</t>
        </is>
      </c>
      <c r="Q4" t="inlineStr">
        <is>
          <t>Shelbyville</t>
        </is>
      </c>
      <c r="R4" t="inlineStr">
        <is>
          <t>IN</t>
        </is>
      </c>
      <c r="S4" t="n">
        <v>46142</v>
      </c>
    </row>
    <row r="5">
      <c r="A5" t="n">
        <v>4</v>
      </c>
      <c r="B5" t="inlineStr">
        <is>
          <t>H-002</t>
        </is>
      </c>
      <c r="C5" t="inlineStr">
        <is>
          <t>Guest</t>
        </is>
      </c>
      <c r="D5" t="inlineStr">
        <is>
          <t>Guest Jordan Sample</t>
        </is>
      </c>
      <c r="H5" t="inlineStr">
        <is>
          <t>Bride</t>
        </is>
      </c>
      <c r="I5" t="inlineStr">
        <is>
          <t>Medium</t>
        </is>
      </c>
      <c r="J5" t="n">
        <v>0</v>
      </c>
      <c r="K5" t="n">
        <v>0</v>
      </c>
      <c r="L5" t="n">
        <v>0</v>
      </c>
    </row>
    <row r="6">
      <c r="A6" t="n">
        <v>5</v>
      </c>
      <c r="B6" t="inlineStr">
        <is>
          <t>H-003</t>
        </is>
      </c>
      <c r="C6" t="inlineStr">
        <is>
          <t>Riley</t>
        </is>
      </c>
      <c r="D6" t="inlineStr">
        <is>
          <t>O'Placeholder</t>
        </is>
      </c>
      <c r="E6" t="inlineStr">
        <is>
          <t>x</t>
        </is>
      </c>
      <c r="H6" t="inlineStr">
        <is>
          <t>Bride</t>
        </is>
      </c>
      <c r="I6" t="inlineStr">
        <is>
          <t>High</t>
        </is>
      </c>
      <c r="J6" t="n">
        <v>0</v>
      </c>
      <c r="K6" t="n">
        <v>0</v>
      </c>
      <c r="L6" t="n">
        <v>1</v>
      </c>
      <c r="M6" t="inlineStr">
        <is>
          <t>Riley O'Placeholder</t>
        </is>
      </c>
      <c r="N6" t="inlineStr">
        <is>
          <t>Riley</t>
        </is>
      </c>
      <c r="O6" t="inlineStr">
        <is>
          <t>3 Demo Rd</t>
        </is>
      </c>
      <c r="Q6" t="inlineStr">
        <is>
          <t>Ogdenville</t>
        </is>
      </c>
      <c r="R6" t="inlineStr">
        <is>
          <t>IN</t>
        </is>
      </c>
      <c r="S6" t="n">
        <v>46203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Order</t>
        </is>
      </c>
      <c r="B1" t="inlineStr">
        <is>
          <t>Household ID</t>
        </is>
      </c>
      <c r="C1" t="inlineStr">
        <is>
          <t>First</t>
        </is>
      </c>
      <c r="D1" t="inlineStr">
        <is>
          <t>Last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Categroy</t>
        </is>
      </c>
      <c r="B1" t="inlineStr">
        <is>
          <t>Item</t>
        </is>
      </c>
      <c r="C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2026-10-17T20:35:49Z</dcterms:created>
  <dcterms:modified xmlns:dcterms="http://purl.org/dc/terms/" xmlns:xsi="http://www.w3.org/2001/XMLSchema-instance" xsi:type="dcterms:W3CDTF">2026-10-17T20:35:49Z</dcterms:modified>
</cp:coreProperties>
</file>